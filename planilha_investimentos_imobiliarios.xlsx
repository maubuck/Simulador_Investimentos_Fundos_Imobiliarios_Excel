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2A4429B0-59A2-4F4A-B052-C1839EE6B4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estimento" sheetId="1" r:id="rId1"/>
    <sheet name="Normalize" sheetId="2" r:id="rId2"/>
  </sheets>
  <definedNames>
    <definedName name="aporte">Investimento!$C$15:$C$15</definedName>
    <definedName name="patrimonio">Investimento!$C$18:$C$18</definedName>
    <definedName name="qnt_anos">Investimento!$C$16:$C$16</definedName>
    <definedName name="rendimento_carteira">Investimento!$C$11:$C$11</definedName>
    <definedName name="salario">Investimento!$C$10:$C$10</definedName>
    <definedName name="sugestao_investimento">Investimento!$C$12:$C$12</definedName>
    <definedName name="taxa_mensal">Investimento!$C$17:$C$17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0" i="1" a="1"/>
  <c r="C30" i="1"/>
  <c r="C12" i="1"/>
  <c r="C18" i="1" a="1"/>
  <c r="C18" i="1"/>
  <c r="C19" i="1" s="1" a="1"/>
  <c r="C19" i="1" s="1"/>
  <c r="C23" i="1"/>
  <c r="D23" i="1" s="1" a="1"/>
  <c r="D23" i="1" s="1"/>
  <c r="C24" i="1"/>
  <c r="D24" i="1" s="1" a="1"/>
  <c r="D24" i="1" s="1"/>
  <c r="C25" i="1"/>
  <c r="D25" i="1" s="1" a="1"/>
  <c r="D25" i="1" s="1"/>
  <c r="C26" i="1"/>
  <c r="D26" i="1" s="1" a="1"/>
  <c r="D26" i="1" s="1"/>
  <c r="C22" i="1"/>
  <c r="D22" i="1" s="1" a="1"/>
  <c r="D22" i="1" s="1"/>
  <c r="D33" i="1" l="1"/>
  <c r="D34" i="1"/>
  <c r="D35" i="1"/>
  <c r="D36" i="1"/>
  <c r="D37" i="1"/>
  <c r="D32" i="1"/>
  <c r="D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<sst xmlns="http://schemas.openxmlformats.org/spreadsheetml/2006/main" count="69" uniqueCount="33">
  <si>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</si>
  <si>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</si>
  <si>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</si>
  <si>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Investimento</t>
  </si>
  <si>
    <t>INVESTIMENTO MENSAL</t>
  </si>
  <si>
    <t>Quanto investir por mês?</t>
  </si>
  <si>
    <t>Por quantos anos?</t>
  </si>
  <si>
    <t>Taxa de rendimento mensal?</t>
  </si>
  <si>
    <t>Quanto de patrimônio acumulado?</t>
  </si>
  <si>
    <t>Dividendos mensais?</t>
  </si>
  <si>
    <t>CENÁRIOS</t>
  </si>
  <si>
    <t>Dividendo</t>
  </si>
  <si>
    <t>Rendimento em 2 anos?</t>
  </si>
  <si>
    <t>Rendimento em 5 anos?</t>
  </si>
  <si>
    <t>Rendimento em 10 anos?</t>
  </si>
  <si>
    <t>Rendimento em 20 anos?</t>
  </si>
  <si>
    <t>Rendimento em 30 anos?</t>
  </si>
  <si>
    <t>PERFIL</t>
  </si>
  <si>
    <t>Agressivo</t>
  </si>
  <si>
    <t>VALOR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</si>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</sst>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2" tint="-0.249977111117893"/>
      </left>
      <right style="medium">
        <color theme="1"/>
      </right>
      <top/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 style="thin">
        <color theme="2" tint="-9.9978637043366805E-2"/>
      </right>
      <top/>
      <bottom style="thin">
        <color theme="2" tint="-0.249977111117893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0.249977111117893"/>
      </top>
      <bottom style="medium">
        <color theme="1"/>
      </bottom>
      <diagonal/>
    </border>
    <border>
      <left style="medium">
        <color theme="1"/>
      </left>
      <right style="thin">
        <color theme="2" tint="-0.249977111117893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8" fontId="0" fillId="3" borderId="1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8" fontId="0" fillId="3" borderId="2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0" fontId="3" fillId="3" borderId="11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5" fillId="2" borderId="4" xfId="0" applyFont="1" applyFill="1" applyBorder="1" applyAlignment="1">
      <alignment horizontal="center" vertical="center" wrapText="1"/>
    </xf>
    <xf numFmtId="0" fontId="3" fillId="3" borderId="22" xfId="0" applyFont="1" applyFill="1" applyBorder="1"/>
    <xf numFmtId="0" fontId="3" fillId="3" borderId="23" xfId="0" applyFont="1" applyFill="1" applyBorder="1"/>
    <xf numFmtId="0" fontId="3" fillId="3" borderId="24" xfId="0" applyFont="1" applyFill="1" applyBorder="1"/>
    <xf numFmtId="0" fontId="3" fillId="0" borderId="25" xfId="0" applyFont="1" applyFill="1" applyBorder="1"/>
    <xf numFmtId="0" fontId="3" fillId="0" borderId="6" xfId="0" applyFont="1" applyFill="1" applyBorder="1"/>
    <xf numFmtId="0" fontId="4" fillId="3" borderId="6" xfId="0" applyFont="1" applyFill="1" applyBorder="1"/>
    <xf numFmtId="0" fontId="4" fillId="3" borderId="8" xfId="0" applyFont="1" applyFill="1" applyBorder="1"/>
    <xf numFmtId="8" fontId="0" fillId="3" borderId="29" xfId="0" applyNumberFormat="1" applyFill="1" applyBorder="1" applyAlignment="1">
      <alignment horizontal="center"/>
    </xf>
    <xf numFmtId="8" fontId="0" fillId="3" borderId="30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31" xfId="0" applyBorder="1"/>
    <xf numFmtId="0" fontId="7" fillId="6" borderId="32" xfId="0" applyFont="1" applyFill="1" applyBorder="1"/>
    <xf numFmtId="0" fontId="7" fillId="6" borderId="33" xfId="0" applyFont="1" applyFill="1" applyBorder="1"/>
    <xf numFmtId="0" fontId="7" fillId="6" borderId="34" xfId="0" applyFont="1" applyFill="1" applyBorder="1" applyAlignment="1">
      <alignment horizontal="center"/>
    </xf>
    <xf numFmtId="0" fontId="0" fillId="0" borderId="35" xfId="0" applyBorder="1"/>
    <xf numFmtId="0" fontId="0" fillId="0" borderId="0" xfId="0" applyBorder="1"/>
    <xf numFmtId="0" fontId="0" fillId="0" borderId="37" xfId="0" applyBorder="1"/>
    <xf numFmtId="9" fontId="0" fillId="3" borderId="36" xfId="0" applyNumberFormat="1" applyFill="1" applyBorder="1" applyAlignment="1">
      <alignment horizontal="center"/>
    </xf>
    <xf numFmtId="9" fontId="0" fillId="3" borderId="38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164" fontId="0" fillId="0" borderId="26" xfId="0" applyNumberFormat="1" applyFont="1" applyFill="1" applyBorder="1" applyAlignment="1">
      <alignment horizontal="center"/>
    </xf>
    <xf numFmtId="164" fontId="0" fillId="0" borderId="5" xfId="0" applyNumberFormat="1" applyFont="1" applyFill="1" applyBorder="1" applyAlignment="1">
      <alignment horizontal="center"/>
    </xf>
    <xf numFmtId="1" fontId="0" fillId="0" borderId="27" xfId="0" applyNumberFormat="1" applyFont="1" applyFill="1" applyBorder="1" applyAlignment="1">
      <alignment horizontal="center"/>
    </xf>
    <xf numFmtId="1" fontId="0" fillId="0" borderId="7" xfId="0" applyNumberFormat="1" applyFont="1" applyFill="1" applyBorder="1" applyAlignment="1">
      <alignment horizontal="center"/>
    </xf>
    <xf numFmtId="10" fontId="0" fillId="0" borderId="27" xfId="0" applyNumberFormat="1" applyFont="1" applyFill="1" applyBorder="1" applyAlignment="1">
      <alignment horizontal="center"/>
    </xf>
    <xf numFmtId="10" fontId="0" fillId="0" borderId="7" xfId="0" applyNumberFormat="1" applyFont="1" applyFill="1" applyBorder="1" applyAlignment="1">
      <alignment horizontal="center"/>
    </xf>
    <xf numFmtId="8" fontId="0" fillId="3" borderId="27" xfId="0" applyNumberFormat="1" applyFont="1" applyFill="1" applyBorder="1" applyAlignment="1">
      <alignment horizontal="center"/>
    </xf>
    <xf numFmtId="8" fontId="0" fillId="3" borderId="7" xfId="0" applyNumberFormat="1" applyFont="1" applyFill="1" applyBorder="1" applyAlignment="1">
      <alignment horizontal="center"/>
    </xf>
    <xf numFmtId="8" fontId="0" fillId="3" borderId="28" xfId="0" applyNumberFormat="1" applyFont="1" applyFill="1" applyBorder="1" applyAlignment="1">
      <alignment horizontal="center"/>
    </xf>
    <xf numFmtId="8" fontId="0" fillId="3" borderId="9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8" fillId="5" borderId="3" xfId="0" applyFont="1" applyFill="1" applyBorder="1"/>
    <xf numFmtId="0" fontId="8" fillId="5" borderId="10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6" fillId="6" borderId="39" xfId="0" applyFont="1" applyFill="1" applyBorder="1"/>
    <xf numFmtId="0" fontId="6" fillId="6" borderId="40" xfId="0" applyFont="1" applyFill="1" applyBorder="1" applyAlignment="1">
      <alignment horizontal="center"/>
    </xf>
    <xf numFmtId="0" fontId="0" fillId="0" borderId="39" xfId="0" applyBorder="1"/>
    <xf numFmtId="164" fontId="0" fillId="3" borderId="40" xfId="0" applyNumberFormat="1" applyFill="1" applyBorder="1" applyAlignment="1">
      <alignment horizontal="center"/>
    </xf>
    <xf numFmtId="0" fontId="0" fillId="6" borderId="41" xfId="0" applyFill="1" applyBorder="1"/>
    <xf numFmtId="0" fontId="0" fillId="6" borderId="42" xfId="0" applyFill="1" applyBorder="1"/>
    <xf numFmtId="164" fontId="6" fillId="6" borderId="43" xfId="0" applyNumberFormat="1" applyFont="1" applyFill="1" applyBorder="1" applyAlignment="1">
      <alignment horizontal="center"/>
    </xf>
    <xf numFmtId="0" fontId="7" fillId="0" borderId="41" xfId="0" applyFont="1" applyBorder="1"/>
    <xf numFmtId="164" fontId="6" fillId="0" borderId="42" xfId="0" applyNumberFormat="1" applyFont="1" applyBorder="1" applyAlignment="1">
      <alignment horizontal="center"/>
    </xf>
    <xf numFmtId="164" fontId="6" fillId="0" borderId="4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3</xdr:col>
      <xdr:colOff>1047750</xdr:colOff>
      <xdr:row>6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6F99C1-9481-5E8F-97D3-859A2609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8100"/>
          <a:ext cx="5048250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topLeftCell="A33" workbookViewId="0">
      <selection activeCell="E31" sqref="E31"/>
    </sheetView>
  </sheetViews>
  <sheetFormatPr defaultColWidth="0" defaultRowHeight="15" zeroHeight="1"/>
  <cols>
    <col min="1" max="1" width="6.28515625" customWidth="1"/>
    <col min="2" max="2" width="38" customWidth="1"/>
    <col min="3" max="3" width="21" customWidth="1"/>
    <col min="4" max="4" width="16.85546875" customWidth="1"/>
    <col min="5" max="5" width="17" customWidth="1"/>
    <col min="6" max="6" width="21.140625" hidden="1" customWidth="1"/>
    <col min="7" max="7" width="13.28515625" hidden="1" customWidth="1"/>
    <col min="8" max="8" width="11.42578125" hidden="1" customWidth="1"/>
  </cols>
  <sheetData>
    <row r="1" spans="2:4"/>
    <row r="2" spans="2:4"/>
    <row r="3" spans="2:4"/>
    <row r="4" spans="2:4"/>
    <row r="5" spans="2:4"/>
    <row r="6" spans="2:4"/>
    <row r="7" spans="2:4"/>
    <row r="8" spans="2:4"/>
    <row r="9" spans="2:4" s="20" customFormat="1" ht="28.5" customHeight="1">
      <c r="B9" s="32" t="s">
        <v>0</v>
      </c>
      <c r="C9" s="33"/>
      <c r="D9" s="34"/>
    </row>
    <row r="10" spans="2:4" ht="15.75">
      <c r="B10" s="11" t="s">
        <v>1</v>
      </c>
      <c r="C10" s="35">
        <v>5000</v>
      </c>
      <c r="D10" s="36"/>
    </row>
    <row r="11" spans="2:4" ht="15.75">
      <c r="B11" s="12" t="s">
        <v>2</v>
      </c>
      <c r="C11" s="37">
        <v>8.9999999999999993E-3</v>
      </c>
      <c r="D11" s="38"/>
    </row>
    <row r="12" spans="2:4" ht="15.75">
      <c r="B12" s="13" t="s">
        <v>3</v>
      </c>
      <c r="C12" s="39">
        <f>C10*30%</f>
        <v>1500</v>
      </c>
      <c r="D12" s="40"/>
    </row>
    <row r="13" spans="2:4" ht="12" customHeight="1">
      <c r="C13" s="2"/>
    </row>
    <row r="14" spans="2:4" ht="31.5" customHeight="1">
      <c r="B14" s="30" t="s">
        <v>4</v>
      </c>
      <c r="C14" s="31"/>
      <c r="D14" s="41"/>
    </row>
    <row r="15" spans="2:4" ht="15.75">
      <c r="B15" s="14" t="s">
        <v>5</v>
      </c>
      <c r="C15" s="42">
        <v>500</v>
      </c>
      <c r="D15" s="43"/>
    </row>
    <row r="16" spans="2:4" ht="15.75">
      <c r="B16" s="15" t="s">
        <v>6</v>
      </c>
      <c r="C16" s="44">
        <v>5</v>
      </c>
      <c r="D16" s="45"/>
    </row>
    <row r="17" spans="1:4" ht="15.75">
      <c r="B17" s="15" t="s">
        <v>7</v>
      </c>
      <c r="C17" s="46">
        <v>1.0789999999999999E-2</v>
      </c>
      <c r="D17" s="47"/>
    </row>
    <row r="18" spans="1:4" ht="15.75">
      <c r="B18" s="16" t="s">
        <v>8</v>
      </c>
      <c r="C18" s="48" cm="1">
        <f t="array" ref="C18">FV(taxa_mensal,qnt_anos*12,aporte*-1)</f>
        <v>41888.456999243819</v>
      </c>
      <c r="D18" s="49"/>
    </row>
    <row r="19" spans="1:4" ht="15.75">
      <c r="B19" s="17" t="s">
        <v>9</v>
      </c>
      <c r="C19" s="50" cm="1">
        <f t="array" ref="C19">patrimonio*rendimento_carteira</f>
        <v>376.99611299319434</v>
      </c>
      <c r="D19" s="51"/>
    </row>
    <row r="20" spans="1:4"/>
    <row r="21" spans="1:4" ht="28.5" customHeight="1">
      <c r="B21" s="30" t="s">
        <v>10</v>
      </c>
      <c r="C21" s="31"/>
      <c r="D21" s="10" t="s">
        <v>11</v>
      </c>
    </row>
    <row r="22" spans="1:4" ht="15.75">
      <c r="A22" s="1">
        <v>2</v>
      </c>
      <c r="B22" s="7" t="s">
        <v>12</v>
      </c>
      <c r="C22" s="3">
        <f>FV($C$17,$A22*12,$C$15*-1)</f>
        <v>13613.813648822608</v>
      </c>
      <c r="D22" s="4" cm="1">
        <f t="array" ref="D22">C22*rendimento_carteira</f>
        <v>122.52432283940347</v>
      </c>
    </row>
    <row r="23" spans="1:4" ht="15.75">
      <c r="A23" s="1">
        <v>5</v>
      </c>
      <c r="B23" s="8" t="s">
        <v>13</v>
      </c>
      <c r="C23" s="5">
        <f>FV($C$17,$A23*12,$C$15*-1)</f>
        <v>41888.456999243819</v>
      </c>
      <c r="D23" s="18" cm="1">
        <f t="array" ref="D23">C23*rendimento_carteira</f>
        <v>376.99611299319434</v>
      </c>
    </row>
    <row r="24" spans="1:4" ht="15.75">
      <c r="A24" s="1">
        <v>10</v>
      </c>
      <c r="B24" s="8" t="s">
        <v>14</v>
      </c>
      <c r="C24" s="5">
        <f>FV($C$17,$A24*12,$C$15*-1)</f>
        <v>121642.1062650861</v>
      </c>
      <c r="D24" s="18" cm="1">
        <f t="array" ref="D24">C24*rendimento_carteira</f>
        <v>1094.7789563857748</v>
      </c>
    </row>
    <row r="25" spans="1:4" ht="15.75">
      <c r="A25" s="1">
        <v>20</v>
      </c>
      <c r="B25" s="8" t="s">
        <v>15</v>
      </c>
      <c r="C25" s="5">
        <f>FV($C$17,$A25*12,$C$15*-1)</f>
        <v>562599.20004854025</v>
      </c>
      <c r="D25" s="18" cm="1">
        <f t="array" ref="D25">C25*rendimento_carteira</f>
        <v>5063.3928004368618</v>
      </c>
    </row>
    <row r="26" spans="1:4" ht="15.75">
      <c r="A26" s="1">
        <v>30</v>
      </c>
      <c r="B26" s="9" t="s">
        <v>16</v>
      </c>
      <c r="C26" s="6">
        <f>FV($C$17,$A26*12,$C$15*-1)</f>
        <v>2161084.8275023573</v>
      </c>
      <c r="D26" s="19" cm="1">
        <f t="array" ref="D26">C26*rendimento_carteira</f>
        <v>19449.763447521214</v>
      </c>
    </row>
    <row r="27" spans="1:4"/>
    <row r="28" spans="1:4"/>
    <row r="29" spans="1:4" ht="15.75">
      <c r="B29" s="54" t="s">
        <v>17</v>
      </c>
      <c r="C29" s="55" t="s">
        <v>18</v>
      </c>
      <c r="D29" s="56"/>
    </row>
    <row r="30" spans="1:4" ht="15.75">
      <c r="B30" s="64" t="s">
        <v>19</v>
      </c>
      <c r="C30" s="65" cm="1">
        <f t="array" ref="C30">aporte</f>
        <v>500</v>
      </c>
      <c r="D30" s="66"/>
    </row>
    <row r="31" spans="1:4">
      <c r="B31" s="57" t="s">
        <v>20</v>
      </c>
      <c r="C31" s="52" t="s">
        <v>21</v>
      </c>
      <c r="D31" s="58" t="s">
        <v>22</v>
      </c>
    </row>
    <row r="32" spans="1:4">
      <c r="B32" s="59" t="s">
        <v>23</v>
      </c>
      <c r="C32" s="53">
        <f>VLOOKUP($C$29&amp;"_"&amp;B32,Normalize!A:D,4,FALSE)</f>
        <v>0.5</v>
      </c>
      <c r="D32" s="60">
        <f>C32*$C$30</f>
        <v>250</v>
      </c>
    </row>
    <row r="33" spans="2:4">
      <c r="B33" s="59" t="s">
        <v>24</v>
      </c>
      <c r="C33" s="53">
        <f>VLOOKUP($C$29&amp;"_"&amp;B33,Normalize!A:D,4,FALSE)</f>
        <v>0.1</v>
      </c>
      <c r="D33" s="60">
        <f t="shared" ref="D33:D37" si="0">C33*$C$30</f>
        <v>50</v>
      </c>
    </row>
    <row r="34" spans="2:4">
      <c r="B34" s="59" t="s">
        <v>25</v>
      </c>
      <c r="C34" s="53">
        <f>VLOOKUP($C$29&amp;"_"&amp;B34,Normalize!A:D,4,FALSE)</f>
        <v>0.05</v>
      </c>
      <c r="D34" s="60">
        <f t="shared" si="0"/>
        <v>25</v>
      </c>
    </row>
    <row r="35" spans="2:4">
      <c r="B35" s="59" t="s">
        <v>26</v>
      </c>
      <c r="C35" s="53">
        <f>VLOOKUP($C$29&amp;"_"&amp;B35,Normalize!A:D,4,FALSE)</f>
        <v>0.05</v>
      </c>
      <c r="D35" s="60">
        <f t="shared" si="0"/>
        <v>25</v>
      </c>
    </row>
    <row r="36" spans="2:4">
      <c r="B36" s="59" t="s">
        <v>27</v>
      </c>
      <c r="C36" s="53">
        <f>VLOOKUP($C$29&amp;"_"&amp;B36,Normalize!A:D,4,FALSE)</f>
        <v>0.2</v>
      </c>
      <c r="D36" s="60">
        <f t="shared" si="0"/>
        <v>100</v>
      </c>
    </row>
    <row r="37" spans="2:4">
      <c r="B37" s="59" t="s">
        <v>28</v>
      </c>
      <c r="C37" s="53">
        <f>VLOOKUP($C$29&amp;"_"&amp;B37,Normalize!A:D,4,FALSE)</f>
        <v>0.1</v>
      </c>
      <c r="D37" s="60">
        <f t="shared" si="0"/>
        <v>50</v>
      </c>
    </row>
    <row r="38" spans="2:4">
      <c r="B38" s="61"/>
      <c r="C38" s="62"/>
      <c r="D38" s="63">
        <f>SUM(D32:D37)</f>
        <v>500</v>
      </c>
    </row>
    <row r="39" spans="2:4"/>
    <row r="40" spans="2:4"/>
    <row r="41" spans="2:4"/>
    <row r="42" spans="2:4"/>
    <row r="43" spans="2:4"/>
    <row r="44" spans="2:4"/>
    <row r="45" spans="2:4"/>
    <row r="46" spans="2:4"/>
    <row r="47" spans="2:4"/>
    <row r="48" spans="2:4"/>
    <row r="49"/>
    <row r="50"/>
    <row r="51"/>
    <row r="52"/>
  </sheetData>
  <mergeCells count="13">
    <mergeCell ref="C29:D29"/>
    <mergeCell ref="C30:D30"/>
    <mergeCell ref="B21:C21"/>
    <mergeCell ref="B9:D9"/>
    <mergeCell ref="C10:D10"/>
    <mergeCell ref="C11:D11"/>
    <mergeCell ref="C12:D12"/>
    <mergeCell ref="B14:D14"/>
    <mergeCell ref="C15:D15"/>
    <mergeCell ref="C16:D16"/>
    <mergeCell ref="C17:D17"/>
    <mergeCell ref="C18:D18"/>
    <mergeCell ref="C19:D19"/>
  </mergeCells>
  <dataValidations count="1">
    <dataValidation type="list" allowBlank="1" showInputMessage="1" showErrorMessage="1" sqref="C29" xr:uid="{E582E010-1250-493A-AE34-35C70FCA6B0E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5768-924A-43F4-80A5-C4F09D54EB7B}">
  <dimension ref="A2:D20"/>
  <sheetViews>
    <sheetView showGridLines="0" workbookViewId="0">
      <selection activeCell="A3" sqref="A3:D8"/>
    </sheetView>
  </sheetViews>
  <sheetFormatPr defaultRowHeight="15"/>
  <cols>
    <col min="1" max="1" width="31.85546875" customWidth="1"/>
    <col min="2" max="2" width="15" customWidth="1"/>
    <col min="3" max="3" width="19.42578125" customWidth="1"/>
    <col min="4" max="4" width="9.140625" style="2"/>
  </cols>
  <sheetData>
    <row r="2" spans="1:4" ht="15.75">
      <c r="A2" s="22" t="s">
        <v>29</v>
      </c>
      <c r="B2" s="23" t="s">
        <v>17</v>
      </c>
      <c r="C2" s="23" t="s">
        <v>20</v>
      </c>
      <c r="D2" s="24" t="s">
        <v>30</v>
      </c>
    </row>
    <row r="3" spans="1:4">
      <c r="A3" s="25" t="str">
        <f>B3&amp;"_"&amp;C3</f>
        <v>Conservador_PAPEL</v>
      </c>
      <c r="B3" s="26" t="s">
        <v>31</v>
      </c>
      <c r="C3" s="26" t="s">
        <v>23</v>
      </c>
      <c r="D3" s="28">
        <v>0.3</v>
      </c>
    </row>
    <row r="4" spans="1:4">
      <c r="A4" s="25" t="str">
        <f t="shared" ref="A4:A20" si="0">B4&amp;"_"&amp;C4</f>
        <v>Conservador_TIJOLO</v>
      </c>
      <c r="B4" s="26" t="s">
        <v>31</v>
      </c>
      <c r="C4" s="26" t="s">
        <v>24</v>
      </c>
      <c r="D4" s="28">
        <v>0.5</v>
      </c>
    </row>
    <row r="5" spans="1:4">
      <c r="A5" s="25" t="str">
        <f t="shared" si="0"/>
        <v>Conservador_HÍBRIDO</v>
      </c>
      <c r="B5" s="26" t="s">
        <v>31</v>
      </c>
      <c r="C5" s="26" t="s">
        <v>25</v>
      </c>
      <c r="D5" s="28">
        <v>0.1</v>
      </c>
    </row>
    <row r="6" spans="1:4">
      <c r="A6" s="25" t="str">
        <f t="shared" si="0"/>
        <v>Conservador_FOFs</v>
      </c>
      <c r="B6" s="26" t="s">
        <v>31</v>
      </c>
      <c r="C6" s="26" t="s">
        <v>26</v>
      </c>
      <c r="D6" s="28">
        <v>0.1</v>
      </c>
    </row>
    <row r="7" spans="1:4">
      <c r="A7" s="25" t="str">
        <f t="shared" si="0"/>
        <v>Conservador_DESENVOLVIMENTO</v>
      </c>
      <c r="B7" s="26" t="s">
        <v>31</v>
      </c>
      <c r="C7" s="26" t="s">
        <v>27</v>
      </c>
      <c r="D7" s="28">
        <v>0</v>
      </c>
    </row>
    <row r="8" spans="1:4">
      <c r="A8" s="27" t="str">
        <f t="shared" si="0"/>
        <v>Conservador_HOTELARIAS</v>
      </c>
      <c r="B8" s="21" t="s">
        <v>31</v>
      </c>
      <c r="C8" s="21" t="s">
        <v>28</v>
      </c>
      <c r="D8" s="29">
        <v>0</v>
      </c>
    </row>
    <row r="9" spans="1:4">
      <c r="A9" s="25" t="str">
        <f t="shared" si="0"/>
        <v>Moderado_PAPEL</v>
      </c>
      <c r="B9" s="26" t="s">
        <v>32</v>
      </c>
      <c r="C9" s="26" t="s">
        <v>23</v>
      </c>
      <c r="D9" s="28">
        <v>0.32</v>
      </c>
    </row>
    <row r="10" spans="1:4">
      <c r="A10" s="25" t="str">
        <f t="shared" si="0"/>
        <v>Moderado_TIJOLO</v>
      </c>
      <c r="B10" s="26" t="s">
        <v>32</v>
      </c>
      <c r="C10" s="26" t="s">
        <v>24</v>
      </c>
      <c r="D10" s="28">
        <v>0.35</v>
      </c>
    </row>
    <row r="11" spans="1:4">
      <c r="A11" s="25" t="str">
        <f t="shared" si="0"/>
        <v>Moderado_HÍBRIDO</v>
      </c>
      <c r="B11" s="26" t="s">
        <v>32</v>
      </c>
      <c r="C11" s="26" t="s">
        <v>25</v>
      </c>
      <c r="D11" s="28">
        <v>0.08</v>
      </c>
    </row>
    <row r="12" spans="1:4">
      <c r="A12" s="25" t="str">
        <f t="shared" si="0"/>
        <v>Moderado_FOFs</v>
      </c>
      <c r="B12" s="26" t="s">
        <v>32</v>
      </c>
      <c r="C12" s="26" t="s">
        <v>26</v>
      </c>
      <c r="D12" s="28">
        <v>0.05</v>
      </c>
    </row>
    <row r="13" spans="1:4">
      <c r="A13" s="25" t="str">
        <f t="shared" si="0"/>
        <v>Moderado_DESENVOLVIMENTO</v>
      </c>
      <c r="B13" s="26" t="s">
        <v>32</v>
      </c>
      <c r="C13" s="26" t="s">
        <v>27</v>
      </c>
      <c r="D13" s="28">
        <v>0.1</v>
      </c>
    </row>
    <row r="14" spans="1:4">
      <c r="A14" s="27" t="str">
        <f t="shared" si="0"/>
        <v>Moderado_HOTELARIAS</v>
      </c>
      <c r="B14" s="21" t="s">
        <v>32</v>
      </c>
      <c r="C14" s="21" t="s">
        <v>28</v>
      </c>
      <c r="D14" s="29">
        <v>0.1</v>
      </c>
    </row>
    <row r="15" spans="1:4">
      <c r="A15" s="25" t="str">
        <f t="shared" si="0"/>
        <v>Agressivo_PAPEL</v>
      </c>
      <c r="B15" s="26" t="s">
        <v>18</v>
      </c>
      <c r="C15" s="26" t="s">
        <v>23</v>
      </c>
      <c r="D15" s="28">
        <v>0.5</v>
      </c>
    </row>
    <row r="16" spans="1:4">
      <c r="A16" s="25" t="str">
        <f t="shared" si="0"/>
        <v>Agressivo_TIJOLO</v>
      </c>
      <c r="B16" s="26" t="s">
        <v>18</v>
      </c>
      <c r="C16" s="26" t="s">
        <v>24</v>
      </c>
      <c r="D16" s="28">
        <v>0.1</v>
      </c>
    </row>
    <row r="17" spans="1:4">
      <c r="A17" s="25" t="str">
        <f t="shared" si="0"/>
        <v>Agressivo_HÍBRIDO</v>
      </c>
      <c r="B17" s="26" t="s">
        <v>18</v>
      </c>
      <c r="C17" s="26" t="s">
        <v>25</v>
      </c>
      <c r="D17" s="28">
        <v>0.05</v>
      </c>
    </row>
    <row r="18" spans="1:4">
      <c r="A18" s="25" t="str">
        <f t="shared" si="0"/>
        <v>Agressivo_FOFs</v>
      </c>
      <c r="B18" s="26" t="s">
        <v>18</v>
      </c>
      <c r="C18" s="26" t="s">
        <v>26</v>
      </c>
      <c r="D18" s="28">
        <v>0.05</v>
      </c>
    </row>
    <row r="19" spans="1:4">
      <c r="A19" s="25" t="str">
        <f t="shared" si="0"/>
        <v>Agressivo_DESENVOLVIMENTO</v>
      </c>
      <c r="B19" s="26" t="s">
        <v>18</v>
      </c>
      <c r="C19" s="26" t="s">
        <v>27</v>
      </c>
      <c r="D19" s="28">
        <v>0.2</v>
      </c>
    </row>
    <row r="20" spans="1:4">
      <c r="A20" s="27" t="str">
        <f t="shared" si="0"/>
        <v>Agressivo_HOTELARIAS</v>
      </c>
      <c r="B20" s="21" t="s">
        <v>18</v>
      </c>
      <c r="C20" s="21" t="s">
        <v>28</v>
      </c>
      <c r="D20" s="2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2026-09-01T13:39:39Z</dcterms:created>
  <dcterms:modified xsi:type="dcterms:W3CDTF">2026-09-03T13:19:21Z</dcterms:modified>
  <cp:category/>
  <cp:contentStatus/>
</cp:coreProperties>
</file>